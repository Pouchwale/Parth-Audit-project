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5E8ED958-3323-4846-BFC5-61B580ED50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 (2)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2" l="1"/>
  <c r="M15" i="2"/>
  <c r="M16" i="2"/>
  <c r="M17" i="2"/>
  <c r="M18" i="2"/>
  <c r="M19" i="2"/>
  <c r="M13" i="2"/>
  <c r="M7" i="2"/>
  <c r="M8" i="2"/>
  <c r="M9" i="2"/>
  <c r="M10" i="2"/>
  <c r="M11" i="2"/>
  <c r="M6" i="2"/>
  <c r="L5" i="2"/>
  <c r="J5" i="2"/>
  <c r="K5" i="2"/>
  <c r="N5" i="2"/>
  <c r="J6" i="2"/>
  <c r="K6" i="2"/>
  <c r="L6" i="2"/>
  <c r="N6" i="2"/>
  <c r="J7" i="2"/>
  <c r="K7" i="2"/>
  <c r="L7" i="2"/>
  <c r="N7" i="2"/>
  <c r="J8" i="2"/>
  <c r="K8" i="2"/>
  <c r="L8" i="2"/>
  <c r="N8" i="2"/>
  <c r="J9" i="2"/>
  <c r="K9" i="2"/>
  <c r="L9" i="2"/>
  <c r="N9" i="2"/>
  <c r="J10" i="2"/>
  <c r="K10" i="2"/>
  <c r="L10" i="2"/>
  <c r="N10" i="2"/>
  <c r="J11" i="2"/>
  <c r="K11" i="2"/>
  <c r="L11" i="2"/>
  <c r="N11" i="2"/>
  <c r="N12" i="2"/>
  <c r="J13" i="2"/>
  <c r="K13" i="2"/>
  <c r="L13" i="2"/>
  <c r="N13" i="2"/>
  <c r="J14" i="2"/>
  <c r="K14" i="2"/>
  <c r="L14" i="2"/>
  <c r="N14" i="2"/>
  <c r="J15" i="2"/>
  <c r="K15" i="2"/>
  <c r="L15" i="2"/>
  <c r="N15" i="2"/>
  <c r="J16" i="2"/>
  <c r="K16" i="2"/>
  <c r="L16" i="2"/>
  <c r="N16" i="2"/>
  <c r="J17" i="2"/>
  <c r="K17" i="2"/>
  <c r="L17" i="2"/>
  <c r="N17" i="2"/>
  <c r="J18" i="2"/>
  <c r="K18" i="2"/>
  <c r="L18" i="2"/>
  <c r="N18" i="2"/>
  <c r="J19" i="2"/>
  <c r="K19" i="2"/>
  <c r="L19" i="2"/>
  <c r="N19" i="2"/>
  <c r="N20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</calcChain>
</file>

<file path=xl/sharedStrings.xml><?xml version="1.0" encoding="utf-8"?>
<sst xmlns="http://schemas.openxmlformats.org/spreadsheetml/2006/main" count="30" uniqueCount="29">
  <si>
    <t>Ideal response</t>
  </si>
  <si>
    <t>Sr. No.</t>
  </si>
  <si>
    <t>Attribute</t>
  </si>
  <si>
    <t>Moderately Agree</t>
  </si>
  <si>
    <t>Agree</t>
  </si>
  <si>
    <t>Neutral</t>
  </si>
  <si>
    <t>Disagree</t>
  </si>
  <si>
    <t>Strongly Disagree</t>
  </si>
  <si>
    <t>Actual 
Responses</t>
  </si>
  <si>
    <t>I can freely speak up if I see something that may negatively affect Product safety or quality</t>
  </si>
  <si>
    <t>Product safety and quality is important to the Senior Management of our company</t>
  </si>
  <si>
    <t>Our Product safety policies and procedures give detailed guidance for how to properly handle our products to ensure a safe and quality product</t>
  </si>
  <si>
    <t>Everyone in our facility has a responsibility to ensure that we produce safe, quality products</t>
  </si>
  <si>
    <t>My coworkers are always supportive of each other regarding following Product safety and quality procedures</t>
  </si>
  <si>
    <t>How well I follow Product safety and quality procedues is part of my annual work performance evaluation</t>
  </si>
  <si>
    <t>I always have enough time to follow safe Product handling procedures, even during 'rush' hours.</t>
  </si>
  <si>
    <t>When there is pressure to finish production, managers sometimes tell us to work faster by taking shortcuts with Product safety and quality</t>
  </si>
  <si>
    <t>Management always determines the root cause of an issue when we have a Product safety or quality problem</t>
  </si>
  <si>
    <t>Producing safe quality products is important to my coworkers.</t>
  </si>
  <si>
    <t>Producing safe quality products is important to me</t>
  </si>
  <si>
    <t>Management regularly reviews monitoring records to ensure our facility is producing safe quality products</t>
  </si>
  <si>
    <t>Written Product safety and quality procedures are only a way to cover-up in case there is a problem with a product</t>
  </si>
  <si>
    <t>Management provides adequate training to improve workers' Product safety and quality practices.</t>
  </si>
  <si>
    <t>Equipment in our facility allows us to produce safe quality products</t>
  </si>
  <si>
    <t xml:space="preserve">Strongly Agree </t>
  </si>
  <si>
    <t>Achieved</t>
  </si>
  <si>
    <t>GUJARAT PRINT PACK PUBLICATION PRIVATE LIMITED</t>
  </si>
  <si>
    <t>F/HR/21(00/01.12.2021)</t>
  </si>
  <si>
    <t xml:space="preserve">PRODUCT SAFETY CULTURE SURVEY  (JANUARY 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</si>
</sst>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10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left"/>
    </xf>
    <xf numFmtId="10" fontId="5" fillId="0" borderId="13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020D-BA5C-4D20-8538-3AE90759FAD4}">
  <sheetPr>
    <pageSetUpPr fitToPage="1"/>
  </sheetPr>
  <dimension ref="A1:O21"/>
  <sheetViews>
    <sheetView showGridLines="0" tabSelected="1" topLeftCell="B1" zoomScaleNormal="100" workbookViewId="0">
      <pane xSplit="8" ySplit="4" topLeftCell="J5" activePane="bottomRight" state="frozen"/>
      <selection activeCell="B1" sqref="B1"/>
      <selection pane="topRight" activeCell="J1" sqref="J1"/>
      <selection pane="bottomLeft" activeCell="B5" sqref="B5"/>
      <selection pane="bottomRight" activeCell="H7" sqref="H7"/>
    </sheetView>
  </sheetViews>
  <sheetFormatPr defaultColWidth="8.7109375" defaultRowHeight="15" x14ac:dyDescent="0.25"/>
  <cols>
    <col min="2" max="2" width="32.28515625" style="18" customWidth="1"/>
    <col min="3" max="3" width="7" bestFit="1" customWidth="1"/>
    <col min="4" max="4" width="9.7109375" customWidth="1"/>
    <col min="8" max="8" width="9.7109375" customWidth="1"/>
    <col min="10" max="10" width="8.140625" customWidth="1"/>
    <col min="11" max="11" width="7" customWidth="1"/>
    <col min="14" max="14" width="9.7109375" bestFit="1" customWidth="1"/>
  </cols>
  <sheetData>
    <row r="1" spans="1:15" ht="35.1" customHeight="1" thickBot="1" x14ac:dyDescent="0.3">
      <c r="A1" s="21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</row>
    <row r="2" spans="1:15" ht="35.1" customHeight="1" thickBot="1" x14ac:dyDescent="0.3">
      <c r="A2" s="26" t="s">
        <v>28</v>
      </c>
      <c r="B2" s="27"/>
      <c r="C2" s="27"/>
      <c r="D2" s="27"/>
      <c r="E2" s="27"/>
      <c r="F2" s="27"/>
      <c r="G2" s="27"/>
      <c r="H2" s="27"/>
      <c r="I2" s="28"/>
      <c r="J2" s="20"/>
      <c r="K2" s="20"/>
      <c r="L2" s="29" t="s">
        <v>27</v>
      </c>
      <c r="M2" s="29"/>
      <c r="N2" s="30"/>
    </row>
    <row r="3" spans="1:15" s="17" customFormat="1" ht="35.1" customHeight="1" x14ac:dyDescent="0.2">
      <c r="A3" s="13" t="s">
        <v>1</v>
      </c>
      <c r="B3" s="14" t="s">
        <v>2</v>
      </c>
      <c r="C3" s="15" t="s">
        <v>24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3</v>
      </c>
      <c r="I3" s="15" t="s">
        <v>7</v>
      </c>
      <c r="J3" s="15"/>
      <c r="K3" s="15"/>
      <c r="L3" s="15" t="s">
        <v>8</v>
      </c>
      <c r="M3" s="15" t="s">
        <v>0</v>
      </c>
      <c r="N3" s="16" t="s">
        <v>25</v>
      </c>
    </row>
    <row r="4" spans="1:15" ht="35.1" customHeight="1" x14ac:dyDescent="0.25">
      <c r="A4" s="24"/>
      <c r="B4" s="25"/>
      <c r="C4" s="2">
        <v>7</v>
      </c>
      <c r="D4" s="2">
        <v>6</v>
      </c>
      <c r="E4" s="2">
        <v>5</v>
      </c>
      <c r="F4" s="2">
        <v>4</v>
      </c>
      <c r="G4" s="2">
        <v>3</v>
      </c>
      <c r="H4" s="2">
        <v>2</v>
      </c>
      <c r="I4" s="2">
        <v>1</v>
      </c>
      <c r="J4" s="2"/>
      <c r="K4" s="2"/>
      <c r="L4" s="2"/>
      <c r="M4" s="1"/>
      <c r="N4" s="7"/>
      <c r="O4" s="3"/>
    </row>
    <row r="5" spans="1:15" ht="38.25" x14ac:dyDescent="0.25">
      <c r="A5" s="8">
        <v>1</v>
      </c>
      <c r="B5" s="11" t="s">
        <v>9</v>
      </c>
      <c r="C5" s="5">
        <v>48</v>
      </c>
      <c r="D5" s="4">
        <v>15</v>
      </c>
      <c r="E5" s="4"/>
      <c r="F5" s="4"/>
      <c r="G5" s="4"/>
      <c r="H5" s="4"/>
      <c r="I5" s="4"/>
      <c r="J5" s="4">
        <f>C5*7</f>
        <v>336</v>
      </c>
      <c r="K5" s="4">
        <f>D5*6</f>
        <v>90</v>
      </c>
      <c r="L5" s="4">
        <f>J5+K5</f>
        <v>426</v>
      </c>
      <c r="M5" s="4">
        <v>455</v>
      </c>
      <c r="N5" s="9">
        <f>L5/M5</f>
        <v>0.93626373626373627</v>
      </c>
      <c r="O5" s="3"/>
    </row>
    <row r="6" spans="1:15" ht="38.25" x14ac:dyDescent="0.25">
      <c r="A6" s="8">
        <f>1+A5</f>
        <v>2</v>
      </c>
      <c r="B6" s="11" t="s">
        <v>10</v>
      </c>
      <c r="C6" s="5">
        <v>42</v>
      </c>
      <c r="D6" s="4">
        <v>21</v>
      </c>
      <c r="E6" s="4"/>
      <c r="F6" s="4"/>
      <c r="G6" s="4"/>
      <c r="H6" s="4"/>
      <c r="I6" s="4"/>
      <c r="J6" s="4">
        <f>C6*7</f>
        <v>294</v>
      </c>
      <c r="K6" s="4">
        <f t="shared" ref="K6:K19" si="0">D6*6</f>
        <v>126</v>
      </c>
      <c r="L6" s="4">
        <f t="shared" ref="L6:L19" si="1">J6+K6</f>
        <v>420</v>
      </c>
      <c r="M6" s="4">
        <f>L6+22</f>
        <v>442</v>
      </c>
      <c r="N6" s="9">
        <f t="shared" ref="N6:N11" si="2">L6/M6</f>
        <v>0.95022624434389136</v>
      </c>
      <c r="O6" s="3"/>
    </row>
    <row r="7" spans="1:15" ht="51" x14ac:dyDescent="0.25">
      <c r="A7" s="8">
        <f t="shared" ref="A7:A19" si="3">1+A6</f>
        <v>3</v>
      </c>
      <c r="B7" s="11" t="s">
        <v>11</v>
      </c>
      <c r="C7" s="5">
        <v>39</v>
      </c>
      <c r="D7" s="4">
        <v>24</v>
      </c>
      <c r="E7" s="4"/>
      <c r="F7" s="4"/>
      <c r="G7" s="4"/>
      <c r="H7" s="4"/>
      <c r="I7" s="4"/>
      <c r="J7" s="4">
        <f t="shared" ref="J7:J19" si="4">C7*7</f>
        <v>273</v>
      </c>
      <c r="K7" s="4">
        <f t="shared" si="0"/>
        <v>144</v>
      </c>
      <c r="L7" s="4">
        <f t="shared" si="1"/>
        <v>417</v>
      </c>
      <c r="M7" s="4">
        <f t="shared" ref="M7:M11" si="5">L7+22</f>
        <v>439</v>
      </c>
      <c r="N7" s="9">
        <f t="shared" si="2"/>
        <v>0.94988610478359914</v>
      </c>
      <c r="O7" s="3"/>
    </row>
    <row r="8" spans="1:15" ht="38.25" x14ac:dyDescent="0.25">
      <c r="A8" s="8">
        <f t="shared" si="3"/>
        <v>4</v>
      </c>
      <c r="B8" s="11" t="s">
        <v>12</v>
      </c>
      <c r="C8" s="5">
        <v>41</v>
      </c>
      <c r="D8" s="4">
        <v>22</v>
      </c>
      <c r="E8" s="4"/>
      <c r="F8" s="4"/>
      <c r="G8" s="4"/>
      <c r="H8" s="4"/>
      <c r="I8" s="4"/>
      <c r="J8" s="4">
        <f t="shared" si="4"/>
        <v>287</v>
      </c>
      <c r="K8" s="4">
        <f t="shared" si="0"/>
        <v>132</v>
      </c>
      <c r="L8" s="4">
        <f t="shared" si="1"/>
        <v>419</v>
      </c>
      <c r="M8" s="4">
        <f t="shared" si="5"/>
        <v>441</v>
      </c>
      <c r="N8" s="9">
        <f t="shared" si="2"/>
        <v>0.95011337868480727</v>
      </c>
      <c r="O8" s="3"/>
    </row>
    <row r="9" spans="1:15" ht="38.25" x14ac:dyDescent="0.25">
      <c r="A9" s="8">
        <f t="shared" si="3"/>
        <v>5</v>
      </c>
      <c r="B9" s="11" t="s">
        <v>13</v>
      </c>
      <c r="C9" s="5">
        <v>38</v>
      </c>
      <c r="D9" s="4">
        <v>25</v>
      </c>
      <c r="E9" s="4"/>
      <c r="F9" s="4"/>
      <c r="G9" s="4"/>
      <c r="H9" s="4"/>
      <c r="I9" s="4"/>
      <c r="J9" s="4">
        <f t="shared" si="4"/>
        <v>266</v>
      </c>
      <c r="K9" s="4">
        <f t="shared" si="0"/>
        <v>150</v>
      </c>
      <c r="L9" s="4">
        <f t="shared" si="1"/>
        <v>416</v>
      </c>
      <c r="M9" s="4">
        <f t="shared" si="5"/>
        <v>438</v>
      </c>
      <c r="N9" s="9">
        <f t="shared" si="2"/>
        <v>0.94977168949771684</v>
      </c>
      <c r="O9" s="3"/>
    </row>
    <row r="10" spans="1:15" ht="38.25" x14ac:dyDescent="0.25">
      <c r="A10" s="8">
        <f t="shared" si="3"/>
        <v>6</v>
      </c>
      <c r="B10" s="11" t="s">
        <v>14</v>
      </c>
      <c r="C10" s="5">
        <v>32</v>
      </c>
      <c r="D10" s="4">
        <v>31</v>
      </c>
      <c r="E10" s="4"/>
      <c r="F10" s="4"/>
      <c r="G10" s="4"/>
      <c r="H10" s="4"/>
      <c r="I10" s="4"/>
      <c r="J10" s="4">
        <f t="shared" si="4"/>
        <v>224</v>
      </c>
      <c r="K10" s="4">
        <f t="shared" si="0"/>
        <v>186</v>
      </c>
      <c r="L10" s="4">
        <f t="shared" si="1"/>
        <v>410</v>
      </c>
      <c r="M10" s="4">
        <f t="shared" si="5"/>
        <v>432</v>
      </c>
      <c r="N10" s="9">
        <f t="shared" si="2"/>
        <v>0.94907407407407407</v>
      </c>
      <c r="O10" s="3"/>
    </row>
    <row r="11" spans="1:15" ht="38.25" x14ac:dyDescent="0.25">
      <c r="A11" s="8">
        <f t="shared" si="3"/>
        <v>7</v>
      </c>
      <c r="B11" s="11" t="s">
        <v>15</v>
      </c>
      <c r="C11" s="5">
        <v>32</v>
      </c>
      <c r="D11" s="4">
        <v>31</v>
      </c>
      <c r="E11" s="4"/>
      <c r="F11" s="4"/>
      <c r="G11" s="4"/>
      <c r="H11" s="4"/>
      <c r="I11" s="4"/>
      <c r="J11" s="4">
        <f t="shared" si="4"/>
        <v>224</v>
      </c>
      <c r="K11" s="4">
        <f t="shared" si="0"/>
        <v>186</v>
      </c>
      <c r="L11" s="4">
        <f t="shared" si="1"/>
        <v>410</v>
      </c>
      <c r="M11" s="4">
        <f t="shared" si="5"/>
        <v>432</v>
      </c>
      <c r="N11" s="9">
        <f t="shared" si="2"/>
        <v>0.94907407407407407</v>
      </c>
      <c r="O11" s="3"/>
    </row>
    <row r="12" spans="1:15" ht="51" x14ac:dyDescent="0.25">
      <c r="A12" s="8">
        <f t="shared" si="3"/>
        <v>8</v>
      </c>
      <c r="B12" s="11" t="s">
        <v>16</v>
      </c>
      <c r="C12" s="5"/>
      <c r="D12" s="4"/>
      <c r="E12" s="4"/>
      <c r="F12" s="4"/>
      <c r="G12" s="4"/>
      <c r="H12" s="4"/>
      <c r="I12" s="4">
        <v>63</v>
      </c>
      <c r="J12" s="4"/>
      <c r="K12" s="4"/>
      <c r="L12" s="4">
        <v>63</v>
      </c>
      <c r="M12" s="4">
        <v>58</v>
      </c>
      <c r="N12" s="9">
        <f>M12/L12</f>
        <v>0.92063492063492058</v>
      </c>
      <c r="O12" s="3"/>
    </row>
    <row r="13" spans="1:15" ht="38.25" x14ac:dyDescent="0.25">
      <c r="A13" s="8">
        <f t="shared" si="3"/>
        <v>9</v>
      </c>
      <c r="B13" s="11" t="s">
        <v>17</v>
      </c>
      <c r="C13" s="5">
        <v>36</v>
      </c>
      <c r="D13" s="4">
        <v>27</v>
      </c>
      <c r="E13" s="4"/>
      <c r="F13" s="4"/>
      <c r="G13" s="4"/>
      <c r="H13" s="4"/>
      <c r="I13" s="4"/>
      <c r="J13" s="4">
        <f t="shared" si="4"/>
        <v>252</v>
      </c>
      <c r="K13" s="4">
        <f t="shared" si="0"/>
        <v>162</v>
      </c>
      <c r="L13" s="4">
        <f t="shared" si="1"/>
        <v>414</v>
      </c>
      <c r="M13" s="4">
        <f>L13+29</f>
        <v>443</v>
      </c>
      <c r="N13" s="9">
        <f t="shared" ref="N13:N19" si="6">L13/M13</f>
        <v>0.93453724604966137</v>
      </c>
      <c r="O13" s="3"/>
    </row>
    <row r="14" spans="1:15" ht="25.5" x14ac:dyDescent="0.25">
      <c r="A14" s="8">
        <f t="shared" si="3"/>
        <v>10</v>
      </c>
      <c r="B14" s="11" t="s">
        <v>18</v>
      </c>
      <c r="C14" s="5">
        <v>38</v>
      </c>
      <c r="D14" s="4">
        <v>25</v>
      </c>
      <c r="E14" s="4"/>
      <c r="F14" s="4"/>
      <c r="G14" s="4"/>
      <c r="H14" s="4"/>
      <c r="I14" s="4"/>
      <c r="J14" s="4">
        <f t="shared" si="4"/>
        <v>266</v>
      </c>
      <c r="K14" s="4">
        <f t="shared" si="0"/>
        <v>150</v>
      </c>
      <c r="L14" s="4">
        <f t="shared" si="1"/>
        <v>416</v>
      </c>
      <c r="M14" s="4">
        <f t="shared" ref="M14:M19" si="7">L14+29</f>
        <v>445</v>
      </c>
      <c r="N14" s="9">
        <f t="shared" si="6"/>
        <v>0.93483146067415734</v>
      </c>
      <c r="O14" s="3"/>
    </row>
    <row r="15" spans="1:15" ht="25.5" x14ac:dyDescent="0.25">
      <c r="A15" s="8">
        <f t="shared" si="3"/>
        <v>11</v>
      </c>
      <c r="B15" s="11" t="s">
        <v>19</v>
      </c>
      <c r="C15" s="5">
        <v>42</v>
      </c>
      <c r="D15" s="4">
        <v>21</v>
      </c>
      <c r="E15" s="4"/>
      <c r="F15" s="4"/>
      <c r="G15" s="4"/>
      <c r="H15" s="4"/>
      <c r="I15" s="4"/>
      <c r="J15" s="4">
        <f t="shared" si="4"/>
        <v>294</v>
      </c>
      <c r="K15" s="4">
        <f t="shared" si="0"/>
        <v>126</v>
      </c>
      <c r="L15" s="4">
        <f t="shared" si="1"/>
        <v>420</v>
      </c>
      <c r="M15" s="4">
        <f t="shared" si="7"/>
        <v>449</v>
      </c>
      <c r="N15" s="9">
        <f t="shared" si="6"/>
        <v>0.93541202672605794</v>
      </c>
      <c r="O15" s="3"/>
    </row>
    <row r="16" spans="1:15" ht="51" x14ac:dyDescent="0.25">
      <c r="A16" s="8">
        <f t="shared" si="3"/>
        <v>12</v>
      </c>
      <c r="B16" s="11" t="s">
        <v>20</v>
      </c>
      <c r="C16" s="5">
        <v>35</v>
      </c>
      <c r="D16" s="4">
        <v>28</v>
      </c>
      <c r="E16" s="4"/>
      <c r="F16" s="4"/>
      <c r="G16" s="4"/>
      <c r="H16" s="4"/>
      <c r="I16" s="4"/>
      <c r="J16" s="4">
        <f t="shared" si="4"/>
        <v>245</v>
      </c>
      <c r="K16" s="4">
        <f t="shared" si="0"/>
        <v>168</v>
      </c>
      <c r="L16" s="4">
        <f t="shared" si="1"/>
        <v>413</v>
      </c>
      <c r="M16" s="4">
        <f t="shared" si="7"/>
        <v>442</v>
      </c>
      <c r="N16" s="9">
        <f t="shared" si="6"/>
        <v>0.93438914027149322</v>
      </c>
      <c r="O16" s="3"/>
    </row>
    <row r="17" spans="1:15" ht="51" x14ac:dyDescent="0.25">
      <c r="A17" s="8">
        <f t="shared" si="3"/>
        <v>13</v>
      </c>
      <c r="B17" s="11" t="s">
        <v>21</v>
      </c>
      <c r="C17" s="5">
        <v>36</v>
      </c>
      <c r="D17" s="4">
        <v>27</v>
      </c>
      <c r="E17" s="4"/>
      <c r="F17" s="4"/>
      <c r="G17" s="4"/>
      <c r="H17" s="4"/>
      <c r="I17" s="4"/>
      <c r="J17" s="4">
        <f t="shared" si="4"/>
        <v>252</v>
      </c>
      <c r="K17" s="4">
        <f t="shared" si="0"/>
        <v>162</v>
      </c>
      <c r="L17" s="4">
        <f t="shared" si="1"/>
        <v>414</v>
      </c>
      <c r="M17" s="4">
        <f t="shared" si="7"/>
        <v>443</v>
      </c>
      <c r="N17" s="9">
        <f t="shared" si="6"/>
        <v>0.93453724604966137</v>
      </c>
      <c r="O17" s="3"/>
    </row>
    <row r="18" spans="1:15" ht="38.25" x14ac:dyDescent="0.25">
      <c r="A18" s="8">
        <f t="shared" si="3"/>
        <v>14</v>
      </c>
      <c r="B18" s="11" t="s">
        <v>22</v>
      </c>
      <c r="C18" s="5">
        <v>35</v>
      </c>
      <c r="D18" s="4">
        <v>28</v>
      </c>
      <c r="E18" s="4"/>
      <c r="F18" s="4"/>
      <c r="G18" s="4"/>
      <c r="H18" s="4"/>
      <c r="I18" s="4"/>
      <c r="J18" s="4">
        <f t="shared" si="4"/>
        <v>245</v>
      </c>
      <c r="K18" s="4">
        <f t="shared" si="0"/>
        <v>168</v>
      </c>
      <c r="L18" s="4">
        <f t="shared" si="1"/>
        <v>413</v>
      </c>
      <c r="M18" s="4">
        <f t="shared" si="7"/>
        <v>442</v>
      </c>
      <c r="N18" s="9">
        <f t="shared" si="6"/>
        <v>0.93438914027149322</v>
      </c>
      <c r="O18" s="3"/>
    </row>
    <row r="19" spans="1:15" ht="26.25" thickBot="1" x14ac:dyDescent="0.3">
      <c r="A19" s="4">
        <f t="shared" si="3"/>
        <v>15</v>
      </c>
      <c r="B19" s="11" t="s">
        <v>23</v>
      </c>
      <c r="C19" s="5">
        <v>39</v>
      </c>
      <c r="D19" s="4">
        <v>24</v>
      </c>
      <c r="E19" s="4"/>
      <c r="F19" s="4"/>
      <c r="G19" s="4"/>
      <c r="H19" s="4"/>
      <c r="I19" s="4"/>
      <c r="J19" s="4">
        <f t="shared" si="4"/>
        <v>273</v>
      </c>
      <c r="K19" s="4">
        <f t="shared" si="0"/>
        <v>144</v>
      </c>
      <c r="L19" s="4">
        <f t="shared" si="1"/>
        <v>417</v>
      </c>
      <c r="M19" s="4">
        <f t="shared" si="7"/>
        <v>446</v>
      </c>
      <c r="N19" s="10">
        <f t="shared" si="6"/>
        <v>0.93497757847533636</v>
      </c>
      <c r="O19" s="3"/>
    </row>
    <row r="20" spans="1:15" ht="27.95" customHeight="1" thickBot="1" x14ac:dyDescent="0.3">
      <c r="A20" s="6"/>
      <c r="B20" s="12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9">
        <f>AVERAGE(N5:N19)</f>
        <v>0.9398745373916455</v>
      </c>
      <c r="O20" s="3"/>
    </row>
    <row r="21" spans="1:15" x14ac:dyDescent="0.25">
      <c r="A21" s="6"/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"/>
    </row>
  </sheetData>
  <mergeCells count="4">
    <mergeCell ref="A1:N1"/>
    <mergeCell ref="A4:B4"/>
    <mergeCell ref="A2:I2"/>
    <mergeCell ref="L2:N2"/>
  </mergeCells>
  <printOptions horizontalCentered="1"/>
  <pageMargins left="0" right="0" top="0.39370078740157499" bottom="0" header="0" footer="0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2026-02-21T05:14:22Z</dcterms:modified>
</cp:coreProperties>
</file>