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arth\Desktop\dcrs-orig-wt\frontend\public\originals\"/>
    </mc:Choice>
  </mc:AlternateContent>
  <xr:revisionPtr revIDLastSave="0" documentId="8_{7DC4C2F4-4A38-4BE6-AA5C-C521EE794E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edback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3" l="1"/>
  <c r="G12" i="3"/>
  <c r="G13" i="3" s="1"/>
  <c r="H12" i="3"/>
  <c r="H13" i="3" s="1"/>
  <c r="F12" i="3"/>
  <c r="F13" i="3" s="1"/>
  <c r="M7" i="3"/>
  <c r="M8" i="3"/>
  <c r="M9" i="3"/>
  <c r="M10" i="3"/>
  <c r="M11" i="3"/>
  <c r="M6" i="3"/>
  <c r="F14" i="3" l="1"/>
  <c r="F16" i="3" s="1"/>
</calcChain>
</file>

<file path=xl/sharedStrings.xml><?xml version="1.0" encoding="utf-8"?>
<sst xmlns="http://schemas.openxmlformats.org/spreadsheetml/2006/main" count="40" uniqueCount="27">
  <si>
    <r>
      <t>Attributes</t>
    </r>
    <r>
      <rPr>
        <sz val="10"/>
        <rFont val="Arial"/>
        <family val="2"/>
      </rPr>
      <t xml:space="preserve">↓ </t>
    </r>
    <r>
      <rPr>
        <b/>
        <sz val="10"/>
        <rFont val="Calibri"/>
        <family val="2"/>
      </rPr>
      <t>/ Rating</t>
    </r>
    <r>
      <rPr>
        <sz val="10"/>
        <rFont val="Arial"/>
        <family val="2"/>
      </rPr>
      <t>→</t>
    </r>
  </si>
  <si>
    <t>Condition of packaging on receipt</t>
  </si>
  <si>
    <t>Product Delivery - as per your requirements</t>
  </si>
  <si>
    <t>Completeness of documents - Invoice, Test certificate, Packing list</t>
  </si>
  <si>
    <t>Technical knowledge &amp; competency</t>
  </si>
  <si>
    <t>Response time &amp; approach to your query</t>
  </si>
  <si>
    <t>5
Excellent</t>
  </si>
  <si>
    <t>4
Very Good</t>
  </si>
  <si>
    <t>3
Good</t>
  </si>
  <si>
    <t>2
Average</t>
  </si>
  <si>
    <t>- 5
Poor</t>
  </si>
  <si>
    <t>Experience with Our Products &amp; Services</t>
  </si>
  <si>
    <t>Average Rating</t>
  </si>
  <si>
    <t>Ideal Rating</t>
  </si>
  <si>
    <t>% Satisfaction Index</t>
  </si>
  <si>
    <t>Satisfied % average</t>
  </si>
  <si>
    <t>Further action / analysis</t>
  </si>
  <si>
    <t xml:space="preserve">Conclusion : </t>
  </si>
  <si>
    <t>Analysis with respect to average rating achieved against each attribute</t>
  </si>
  <si>
    <t xml:space="preserve">Customer Feedback analysis </t>
  </si>
  <si>
    <t xml:space="preserve">Product Quality </t>
  </si>
  <si>
    <t>GUJARAT PRINT PACK PUBLICATION PRIVATE LIMITED</t>
  </si>
  <si>
    <t>F/MKT/02 (01/01.12.2021)</t>
  </si>
  <si>
    <t>Product : - LABELS</t>
  </si>
  <si>
    <t>Evaluation Period : 01.01.2025 to 31.12.2025)</t>
  </si>
  <si>
    <t>Not needed</t>
  </si>
  <si>
    <t>Overall CSI found satisfactory. No major concerns or complaints received from above customer related to above parameters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</si>
</sst>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0"/>
      <name val="Arial"/>
    </font>
    <font>
      <b/>
      <sz val="10"/>
      <name val="Calibri"/>
      <family val="2"/>
    </font>
    <font>
      <sz val="11"/>
      <color indexed="60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8"/>
      <color indexed="56"/>
      <name val="Cambria"/>
      <family val="1"/>
    </font>
    <font>
      <sz val="11"/>
      <color indexed="10"/>
      <name val="Calibri"/>
      <family val="2"/>
    </font>
    <font>
      <sz val="11"/>
      <color indexed="52"/>
      <name val="Calibri"/>
      <family val="2"/>
    </font>
    <font>
      <sz val="11"/>
      <color indexed="20"/>
      <name val="Calibri"/>
      <family val="2"/>
    </font>
    <font>
      <sz val="11"/>
      <color indexed="9"/>
      <name val="Calibri"/>
      <family val="2"/>
    </font>
    <font>
      <i/>
      <sz val="11"/>
      <color indexed="23"/>
      <name val="Calibri"/>
      <family val="2"/>
    </font>
    <font>
      <b/>
      <sz val="11"/>
      <color indexed="52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b/>
      <sz val="15"/>
      <color indexed="56"/>
      <name val="Calibri"/>
      <family val="2"/>
    </font>
    <font>
      <b/>
      <sz val="11"/>
      <color indexed="9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b/>
      <u/>
      <sz val="16"/>
      <name val="Calibri"/>
      <family val="2"/>
    </font>
    <font>
      <b/>
      <sz val="16"/>
      <name val="Calibri"/>
      <family val="2"/>
    </font>
    <font>
      <sz val="11"/>
      <name val="Calibri"/>
      <family val="2"/>
    </font>
    <font>
      <sz val="10"/>
      <name val="Calibri"/>
      <family val="2"/>
    </font>
    <font>
      <sz val="10"/>
      <color indexed="8"/>
      <name val="Calibri"/>
      <family val="2"/>
    </font>
    <font>
      <sz val="10"/>
      <name val="Arial"/>
      <family val="2"/>
    </font>
    <font>
      <b/>
      <sz val="10"/>
      <color indexed="8"/>
      <name val="Calibri"/>
      <family val="2"/>
    </font>
    <font>
      <b/>
      <sz val="12"/>
      <name val="Calibri"/>
      <family val="2"/>
    </font>
    <font>
      <sz val="8"/>
      <name val="Arial"/>
      <family val="2"/>
    </font>
    <font>
      <b/>
      <sz val="11"/>
      <name val="Calibri"/>
      <family val="2"/>
      <scheme val="minor"/>
    </font>
    <font>
      <b/>
      <u/>
      <sz val="24"/>
      <name val="Calibri"/>
      <family val="2"/>
    </font>
    <font>
      <b/>
      <u/>
      <sz val="12"/>
      <name val="Calibri"/>
      <family val="2"/>
    </font>
    <font>
      <sz val="10"/>
      <name val="Arial"/>
      <family val="2"/>
    </font>
    <font>
      <b/>
      <u/>
      <sz val="14"/>
      <name val="Calibri"/>
      <family val="2"/>
    </font>
    <font>
      <b/>
      <u/>
      <sz val="12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43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9" borderId="0" applyNumberFormat="0" applyBorder="0" applyAlignment="0" applyProtection="0"/>
    <xf numFmtId="0" fontId="8" fillId="3" borderId="0" applyNumberFormat="0" applyBorder="0" applyAlignment="0" applyProtection="0"/>
    <xf numFmtId="0" fontId="11" fillId="20" borderId="1" applyNumberFormat="0" applyAlignment="0" applyProtection="0"/>
    <xf numFmtId="0" fontId="15" fillId="21" borderId="2" applyNumberFormat="0" applyAlignment="0" applyProtection="0"/>
    <xf numFmtId="0" fontId="10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4" fillId="0" borderId="3" applyNumberFormat="0" applyFill="0" applyAlignment="0" applyProtection="0"/>
    <xf numFmtId="0" fontId="16" fillId="0" borderId="4" applyNumberFormat="0" applyFill="0" applyAlignment="0" applyProtection="0"/>
    <xf numFmtId="0" fontId="17" fillId="0" borderId="5" applyNumberFormat="0" applyFill="0" applyAlignment="0" applyProtection="0"/>
    <xf numFmtId="0" fontId="17" fillId="0" borderId="0" applyNumberFormat="0" applyFill="0" applyBorder="0" applyAlignment="0" applyProtection="0"/>
    <xf numFmtId="0" fontId="18" fillId="7" borderId="1" applyNumberFormat="0" applyAlignment="0" applyProtection="0"/>
    <xf numFmtId="0" fontId="7" fillId="0" borderId="6" applyNumberFormat="0" applyFill="0" applyAlignment="0" applyProtection="0"/>
    <xf numFmtId="0" fontId="2" fillId="22" borderId="0" applyNumberFormat="0" applyBorder="0" applyAlignment="0" applyProtection="0"/>
    <xf numFmtId="0" fontId="24" fillId="23" borderId="7" applyNumberFormat="0" applyFont="0" applyAlignment="0" applyProtection="0"/>
    <xf numFmtId="0" fontId="13" fillId="20" borderId="8" applyNumberFormat="0" applyAlignment="0" applyProtection="0"/>
    <xf numFmtId="0" fontId="5" fillId="0" borderId="0" applyNumberFormat="0" applyFill="0" applyBorder="0" applyAlignment="0" applyProtection="0"/>
    <xf numFmtId="0" fontId="3" fillId="0" borderId="9" applyNumberFormat="0" applyFill="0" applyAlignment="0" applyProtection="0"/>
    <xf numFmtId="0" fontId="6" fillId="0" borderId="0" applyNumberFormat="0" applyFill="0" applyBorder="0" applyAlignment="0" applyProtection="0"/>
    <xf numFmtId="9" fontId="31" fillId="0" borderId="0" applyFont="0" applyFill="0" applyBorder="0" applyAlignment="0" applyProtection="0"/>
  </cellStyleXfs>
  <cellXfs count="69">
    <xf numFmtId="0" fontId="0" fillId="0" borderId="0" xfId="0"/>
    <xf numFmtId="10" fontId="21" fillId="0" borderId="10" xfId="42" applyNumberFormat="1" applyFont="1" applyFill="1" applyBorder="1" applyAlignment="1">
      <alignment horizontal="center" vertical="center"/>
    </xf>
    <xf numFmtId="9" fontId="21" fillId="0" borderId="0" xfId="42" applyFont="1" applyFill="1" applyAlignment="1">
      <alignment vertical="center"/>
    </xf>
    <xf numFmtId="0" fontId="21" fillId="0" borderId="0" xfId="0" applyFont="1" applyAlignment="1">
      <alignment vertical="center"/>
    </xf>
    <xf numFmtId="0" fontId="25" fillId="0" borderId="27" xfId="0" applyFont="1" applyBorder="1" applyAlignment="1">
      <alignment horizontal="center" vertical="center" wrapText="1"/>
    </xf>
    <xf numFmtId="0" fontId="25" fillId="0" borderId="28" xfId="0" applyFont="1" applyBorder="1" applyAlignment="1">
      <alignment horizontal="center" vertical="center" wrapText="1"/>
    </xf>
    <xf numFmtId="0" fontId="25" fillId="0" borderId="33" xfId="0" applyFont="1" applyBorder="1" applyAlignment="1">
      <alignment horizontal="center" vertical="center" wrapText="1"/>
    </xf>
    <xf numFmtId="0" fontId="25" fillId="0" borderId="40" xfId="0" quotePrefix="1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23" fillId="0" borderId="18" xfId="0" applyFont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0" borderId="10" xfId="0" applyFont="1" applyBorder="1" applyAlignment="1">
      <alignment vertical="center"/>
    </xf>
    <xf numFmtId="0" fontId="35" fillId="0" borderId="0" xfId="0" applyFont="1" applyAlignment="1">
      <alignment vertical="center"/>
    </xf>
    <xf numFmtId="0" fontId="34" fillId="24" borderId="0" xfId="0" applyFont="1" applyFill="1" applyAlignment="1">
      <alignment horizontal="left" vertical="center" wrapText="1"/>
    </xf>
    <xf numFmtId="0" fontId="34" fillId="24" borderId="42" xfId="0" applyFont="1" applyFill="1" applyBorder="1" applyAlignment="1">
      <alignment horizontal="left" vertical="center" wrapText="1"/>
    </xf>
    <xf numFmtId="0" fontId="34" fillId="24" borderId="22" xfId="0" applyFont="1" applyFill="1" applyBorder="1" applyAlignment="1">
      <alignment horizontal="left" vertical="center" wrapText="1"/>
    </xf>
    <xf numFmtId="0" fontId="34" fillId="24" borderId="23" xfId="0" applyFont="1" applyFill="1" applyBorder="1" applyAlignment="1">
      <alignment horizontal="left" vertical="center" wrapText="1"/>
    </xf>
    <xf numFmtId="0" fontId="1" fillId="0" borderId="30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10" fontId="21" fillId="0" borderId="12" xfId="42" applyNumberFormat="1" applyFont="1" applyFill="1" applyBorder="1" applyAlignment="1">
      <alignment horizontal="center" vertical="center"/>
    </xf>
    <xf numFmtId="10" fontId="21" fillId="0" borderId="13" xfId="42" applyNumberFormat="1" applyFont="1" applyFill="1" applyBorder="1" applyAlignment="1">
      <alignment horizontal="center" vertical="center"/>
    </xf>
    <xf numFmtId="0" fontId="33" fillId="0" borderId="30" xfId="0" applyFont="1" applyBorder="1" applyAlignment="1">
      <alignment horizontal="center" vertical="center"/>
    </xf>
    <xf numFmtId="0" fontId="33" fillId="0" borderId="27" xfId="0" applyFont="1" applyBorder="1" applyAlignment="1">
      <alignment horizontal="center" vertical="center"/>
    </xf>
    <xf numFmtId="0" fontId="34" fillId="0" borderId="12" xfId="0" applyFont="1" applyBorder="1" applyAlignment="1">
      <alignment horizontal="left" vertical="center" wrapText="1"/>
    </xf>
    <xf numFmtId="0" fontId="34" fillId="0" borderId="14" xfId="0" applyFont="1" applyBorder="1" applyAlignment="1">
      <alignment horizontal="left" vertical="center" wrapText="1"/>
    </xf>
    <xf numFmtId="0" fontId="34" fillId="0" borderId="31" xfId="0" applyFont="1" applyBorder="1" applyAlignment="1">
      <alignment horizontal="left" vertical="center" wrapText="1"/>
    </xf>
    <xf numFmtId="0" fontId="28" fillId="0" borderId="38" xfId="0" applyFont="1" applyBorder="1" applyAlignment="1">
      <alignment horizontal="left" vertical="center" wrapText="1"/>
    </xf>
    <xf numFmtId="0" fontId="28" fillId="0" borderId="39" xfId="0" applyFont="1" applyBorder="1" applyAlignment="1">
      <alignment horizontal="left" vertical="center" wrapText="1"/>
    </xf>
    <xf numFmtId="0" fontId="28" fillId="0" borderId="37" xfId="0" applyFont="1" applyBorder="1" applyAlignment="1">
      <alignment horizontal="left" vertical="center" wrapText="1"/>
    </xf>
    <xf numFmtId="0" fontId="28" fillId="0" borderId="38" xfId="0" applyFont="1" applyBorder="1" applyAlignment="1">
      <alignment horizontal="center" vertical="center" wrapText="1"/>
    </xf>
    <xf numFmtId="0" fontId="35" fillId="0" borderId="32" xfId="0" applyFont="1" applyBorder="1" applyAlignment="1">
      <alignment horizontal="left" vertical="center" wrapText="1"/>
    </xf>
    <xf numFmtId="0" fontId="35" fillId="0" borderId="33" xfId="0" applyFont="1" applyBorder="1" applyAlignment="1">
      <alignment horizontal="left" vertical="center" wrapText="1"/>
    </xf>
    <xf numFmtId="0" fontId="21" fillId="0" borderId="12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0" borderId="31" xfId="0" applyFont="1" applyBorder="1" applyAlignment="1">
      <alignment horizontal="center" vertical="center"/>
    </xf>
    <xf numFmtId="9" fontId="35" fillId="0" borderId="34" xfId="42" applyFont="1" applyFill="1" applyBorder="1" applyAlignment="1">
      <alignment horizontal="center" vertical="center"/>
    </xf>
    <xf numFmtId="9" fontId="35" fillId="0" borderId="35" xfId="42" applyFont="1" applyFill="1" applyBorder="1" applyAlignment="1">
      <alignment horizontal="center" vertical="center"/>
    </xf>
    <xf numFmtId="9" fontId="35" fillId="0" borderId="36" xfId="42" applyFont="1" applyFill="1" applyBorder="1" applyAlignment="1">
      <alignment horizontal="center" vertical="center"/>
    </xf>
    <xf numFmtId="0" fontId="26" fillId="0" borderId="41" xfId="0" applyFont="1" applyBorder="1" applyAlignment="1">
      <alignment horizontal="left" vertical="center" wrapText="1"/>
    </xf>
    <xf numFmtId="0" fontId="26" fillId="0" borderId="14" xfId="0" applyFont="1" applyBorder="1" applyAlignment="1">
      <alignment horizontal="left" vertical="center" wrapText="1"/>
    </xf>
    <xf numFmtId="0" fontId="26" fillId="0" borderId="13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0" borderId="26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9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/>
    </xf>
    <xf numFmtId="0" fontId="19" fillId="0" borderId="16" xfId="0" applyFont="1" applyBorder="1" applyAlignment="1">
      <alignment horizontal="left" vertical="center"/>
    </xf>
    <xf numFmtId="0" fontId="19" fillId="0" borderId="17" xfId="0" applyFont="1" applyBorder="1" applyAlignment="1">
      <alignment horizontal="left" vertical="center"/>
    </xf>
    <xf numFmtId="0" fontId="32" fillId="0" borderId="15" xfId="0" applyFont="1" applyBorder="1" applyAlignment="1">
      <alignment horizontal="center" vertical="center"/>
    </xf>
    <xf numFmtId="0" fontId="32" fillId="0" borderId="16" xfId="0" applyFont="1" applyBorder="1" applyAlignment="1">
      <alignment horizontal="center" vertical="center"/>
    </xf>
    <xf numFmtId="0" fontId="32" fillId="0" borderId="17" xfId="0" applyFont="1" applyBorder="1" applyAlignment="1">
      <alignment horizontal="center" vertical="center"/>
    </xf>
    <xf numFmtId="0" fontId="29" fillId="0" borderId="15" xfId="0" applyFont="1" applyBorder="1" applyAlignment="1">
      <alignment horizontal="center" vertical="center"/>
    </xf>
    <xf numFmtId="0" fontId="29" fillId="0" borderId="16" xfId="0" applyFont="1" applyBorder="1" applyAlignment="1">
      <alignment horizontal="center" vertical="center"/>
    </xf>
    <xf numFmtId="0" fontId="29" fillId="0" borderId="17" xfId="0" applyFont="1" applyBorder="1" applyAlignment="1">
      <alignment horizontal="center" vertical="center"/>
    </xf>
    <xf numFmtId="0" fontId="30" fillId="0" borderId="15" xfId="0" applyFont="1" applyBorder="1" applyAlignment="1">
      <alignment horizontal="center" vertical="center"/>
    </xf>
    <xf numFmtId="0" fontId="30" fillId="0" borderId="16" xfId="0" applyFont="1" applyBorder="1" applyAlignment="1">
      <alignment horizontal="center" vertical="center"/>
    </xf>
    <xf numFmtId="0" fontId="30" fillId="0" borderId="17" xfId="0" applyFont="1" applyBorder="1" applyAlignment="1">
      <alignment horizontal="center" vertical="center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Percent" xfId="42" builtinId="5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25"/>
  <sheetViews>
    <sheetView showGridLines="0" tabSelected="1" zoomScale="85" zoomScaleNormal="85" workbookViewId="0">
      <selection activeCell="Q2" sqref="Q2"/>
    </sheetView>
  </sheetViews>
  <sheetFormatPr defaultColWidth="11.44140625" defaultRowHeight="20.25" customHeight="1" x14ac:dyDescent="0.25"/>
  <cols>
    <col min="1" max="1" width="13" style="3" customWidth="1"/>
    <col min="2" max="4" width="9.109375" style="3" bestFit="1" customWidth="1"/>
    <col min="5" max="5" width="16.33203125" style="3" customWidth="1"/>
    <col min="6" max="10" width="10.6640625" style="3" customWidth="1"/>
    <col min="11" max="11" width="9.109375" style="3" customWidth="1"/>
    <col min="12" max="13" width="11.44140625" style="3" customWidth="1"/>
    <col min="14" max="16384" width="11.44140625" style="3"/>
  </cols>
  <sheetData>
    <row r="1" spans="1:17" ht="34.5" customHeight="1" thickBot="1" x14ac:dyDescent="0.3">
      <c r="A1" s="43" t="s">
        <v>21</v>
      </c>
      <c r="B1" s="44"/>
      <c r="C1" s="44"/>
      <c r="D1" s="44"/>
      <c r="E1" s="44"/>
      <c r="F1" s="44"/>
      <c r="G1" s="44"/>
      <c r="H1" s="44"/>
      <c r="I1" s="44"/>
      <c r="J1" s="45"/>
    </row>
    <row r="2" spans="1:17" ht="30.45" customHeight="1" thickBot="1" x14ac:dyDescent="0.3">
      <c r="A2" s="63" t="s">
        <v>19</v>
      </c>
      <c r="B2" s="64"/>
      <c r="C2" s="64"/>
      <c r="D2" s="64"/>
      <c r="E2" s="64"/>
      <c r="F2" s="64"/>
      <c r="G2" s="65"/>
      <c r="H2" s="66" t="s">
        <v>22</v>
      </c>
      <c r="I2" s="67"/>
      <c r="J2" s="68"/>
    </row>
    <row r="3" spans="1:17" ht="29.55" customHeight="1" thickBot="1" x14ac:dyDescent="0.3">
      <c r="A3" s="57" t="s">
        <v>23</v>
      </c>
      <c r="B3" s="58"/>
      <c r="C3" s="58"/>
      <c r="D3" s="58"/>
      <c r="E3" s="59"/>
      <c r="F3" s="60" t="s">
        <v>24</v>
      </c>
      <c r="G3" s="61"/>
      <c r="H3" s="61"/>
      <c r="I3" s="61"/>
      <c r="J3" s="62"/>
    </row>
    <row r="4" spans="1:17" ht="35.25" customHeight="1" x14ac:dyDescent="0.25">
      <c r="A4" s="49" t="s">
        <v>0</v>
      </c>
      <c r="B4" s="50"/>
      <c r="C4" s="50"/>
      <c r="D4" s="50"/>
      <c r="E4" s="51"/>
      <c r="F4" s="46" t="s">
        <v>11</v>
      </c>
      <c r="G4" s="47"/>
      <c r="H4" s="47"/>
      <c r="I4" s="47"/>
      <c r="J4" s="48"/>
    </row>
    <row r="5" spans="1:17" ht="35.25" customHeight="1" thickBot="1" x14ac:dyDescent="0.3">
      <c r="A5" s="52"/>
      <c r="B5" s="53"/>
      <c r="C5" s="53"/>
      <c r="D5" s="53"/>
      <c r="E5" s="54"/>
      <c r="F5" s="4" t="s">
        <v>6</v>
      </c>
      <c r="G5" s="5" t="s">
        <v>7</v>
      </c>
      <c r="H5" s="5" t="s">
        <v>8</v>
      </c>
      <c r="I5" s="6" t="s">
        <v>9</v>
      </c>
      <c r="J5" s="7" t="s">
        <v>10</v>
      </c>
    </row>
    <row r="6" spans="1:17" ht="35.25" customHeight="1" x14ac:dyDescent="0.25">
      <c r="A6" s="55" t="s">
        <v>20</v>
      </c>
      <c r="B6" s="56"/>
      <c r="C6" s="56"/>
      <c r="D6" s="56"/>
      <c r="E6" s="56"/>
      <c r="F6" s="8">
        <v>8</v>
      </c>
      <c r="G6" s="9">
        <v>1</v>
      </c>
      <c r="H6" s="9"/>
      <c r="I6" s="10"/>
      <c r="J6" s="10"/>
      <c r="K6" s="11">
        <v>44</v>
      </c>
      <c r="L6" s="11">
        <v>45</v>
      </c>
      <c r="M6" s="1">
        <f>K6/L6</f>
        <v>0.97777777777777775</v>
      </c>
      <c r="Q6" s="2"/>
    </row>
    <row r="7" spans="1:17" ht="35.25" customHeight="1" x14ac:dyDescent="0.25">
      <c r="A7" s="19" t="s">
        <v>1</v>
      </c>
      <c r="B7" s="20"/>
      <c r="C7" s="20"/>
      <c r="D7" s="20"/>
      <c r="E7" s="20"/>
      <c r="F7" s="8">
        <v>7</v>
      </c>
      <c r="G7" s="9">
        <v>2</v>
      </c>
      <c r="H7" s="12"/>
      <c r="I7" s="13"/>
      <c r="J7" s="13"/>
      <c r="K7" s="11">
        <v>43</v>
      </c>
      <c r="L7" s="11">
        <v>45</v>
      </c>
      <c r="M7" s="1">
        <f t="shared" ref="M7:M11" si="0">K7/L7</f>
        <v>0.9555555555555556</v>
      </c>
      <c r="Q7" s="2"/>
    </row>
    <row r="8" spans="1:17" ht="35.25" customHeight="1" x14ac:dyDescent="0.25">
      <c r="A8" s="19" t="s">
        <v>2</v>
      </c>
      <c r="B8" s="20"/>
      <c r="C8" s="20"/>
      <c r="D8" s="20"/>
      <c r="E8" s="20"/>
      <c r="F8" s="8">
        <v>4</v>
      </c>
      <c r="G8" s="9">
        <v>4</v>
      </c>
      <c r="H8" s="12">
        <v>1</v>
      </c>
      <c r="I8" s="12"/>
      <c r="J8" s="13"/>
      <c r="K8" s="11">
        <v>39</v>
      </c>
      <c r="L8" s="11">
        <v>45</v>
      </c>
      <c r="M8" s="1">
        <f t="shared" si="0"/>
        <v>0.8666666666666667</v>
      </c>
      <c r="Q8" s="2"/>
    </row>
    <row r="9" spans="1:17" ht="35.25" customHeight="1" x14ac:dyDescent="0.25">
      <c r="A9" s="19" t="s">
        <v>3</v>
      </c>
      <c r="B9" s="20"/>
      <c r="C9" s="20"/>
      <c r="D9" s="20"/>
      <c r="E9" s="20"/>
      <c r="F9" s="8">
        <v>6</v>
      </c>
      <c r="G9" s="8">
        <v>3</v>
      </c>
      <c r="H9" s="12"/>
      <c r="I9" s="13"/>
      <c r="J9" s="13"/>
      <c r="K9" s="11">
        <v>42</v>
      </c>
      <c r="L9" s="11">
        <v>45</v>
      </c>
      <c r="M9" s="1">
        <f t="shared" si="0"/>
        <v>0.93333333333333335</v>
      </c>
      <c r="Q9" s="2"/>
    </row>
    <row r="10" spans="1:17" ht="35.25" customHeight="1" x14ac:dyDescent="0.25">
      <c r="A10" s="19" t="s">
        <v>5</v>
      </c>
      <c r="B10" s="20"/>
      <c r="C10" s="20"/>
      <c r="D10" s="20"/>
      <c r="E10" s="20"/>
      <c r="F10" s="8">
        <v>5</v>
      </c>
      <c r="G10" s="12">
        <v>3</v>
      </c>
      <c r="H10" s="12">
        <v>1</v>
      </c>
      <c r="I10" s="13"/>
      <c r="J10" s="13"/>
      <c r="K10" s="11">
        <v>40</v>
      </c>
      <c r="L10" s="11">
        <v>45</v>
      </c>
      <c r="M10" s="1">
        <f t="shared" si="0"/>
        <v>0.88888888888888884</v>
      </c>
      <c r="Q10" s="2"/>
    </row>
    <row r="11" spans="1:17" ht="35.25" customHeight="1" x14ac:dyDescent="0.25">
      <c r="A11" s="19" t="s">
        <v>4</v>
      </c>
      <c r="B11" s="20"/>
      <c r="C11" s="20"/>
      <c r="D11" s="20"/>
      <c r="E11" s="20"/>
      <c r="F11" s="8">
        <v>5</v>
      </c>
      <c r="G11" s="12">
        <v>4</v>
      </c>
      <c r="H11" s="12"/>
      <c r="I11" s="13"/>
      <c r="J11" s="13"/>
      <c r="K11" s="11">
        <v>41</v>
      </c>
      <c r="L11" s="11">
        <v>45</v>
      </c>
      <c r="M11" s="1">
        <f t="shared" si="0"/>
        <v>0.91111111111111109</v>
      </c>
      <c r="Q11" s="2"/>
    </row>
    <row r="12" spans="1:17" ht="35.25" customHeight="1" x14ac:dyDescent="0.25">
      <c r="A12" s="40" t="s">
        <v>12</v>
      </c>
      <c r="B12" s="41"/>
      <c r="C12" s="41"/>
      <c r="D12" s="41"/>
      <c r="E12" s="42"/>
      <c r="F12" s="12">
        <f>SUM(F6:F11)</f>
        <v>35</v>
      </c>
      <c r="G12" s="12">
        <f t="shared" ref="G12:H12" si="1">SUM(G6:G11)</f>
        <v>17</v>
      </c>
      <c r="H12" s="12">
        <f t="shared" si="1"/>
        <v>2</v>
      </c>
      <c r="I12" s="12"/>
      <c r="J12" s="13"/>
    </row>
    <row r="13" spans="1:17" ht="35.25" customHeight="1" x14ac:dyDescent="0.25">
      <c r="A13" s="40" t="s">
        <v>13</v>
      </c>
      <c r="B13" s="41"/>
      <c r="C13" s="41"/>
      <c r="D13" s="41"/>
      <c r="E13" s="42"/>
      <c r="F13" s="12">
        <f>F12*5</f>
        <v>175</v>
      </c>
      <c r="G13" s="12">
        <f>G12*4</f>
        <v>68</v>
      </c>
      <c r="H13" s="12">
        <f>H12*3</f>
        <v>6</v>
      </c>
      <c r="I13" s="12"/>
      <c r="J13" s="13"/>
    </row>
    <row r="14" spans="1:17" ht="35.25" customHeight="1" x14ac:dyDescent="0.25">
      <c r="A14" s="19" t="s">
        <v>12</v>
      </c>
      <c r="B14" s="20"/>
      <c r="C14" s="20"/>
      <c r="D14" s="20"/>
      <c r="E14" s="20"/>
      <c r="F14" s="34">
        <f>F13+G13+H13+I13</f>
        <v>249</v>
      </c>
      <c r="G14" s="35"/>
      <c r="H14" s="35"/>
      <c r="I14" s="35"/>
      <c r="J14" s="36"/>
    </row>
    <row r="15" spans="1:17" ht="35.25" customHeight="1" x14ac:dyDescent="0.25">
      <c r="A15" s="19" t="s">
        <v>13</v>
      </c>
      <c r="B15" s="20"/>
      <c r="C15" s="20"/>
      <c r="D15" s="20"/>
      <c r="E15" s="20"/>
      <c r="F15" s="34">
        <f>9*6*5</f>
        <v>270</v>
      </c>
      <c r="G15" s="35"/>
      <c r="H15" s="35"/>
      <c r="I15" s="35"/>
      <c r="J15" s="36"/>
    </row>
    <row r="16" spans="1:17" s="14" customFormat="1" ht="35.25" customHeight="1" thickBot="1" x14ac:dyDescent="0.3">
      <c r="A16" s="32" t="s">
        <v>14</v>
      </c>
      <c r="B16" s="33"/>
      <c r="C16" s="33"/>
      <c r="D16" s="33"/>
      <c r="E16" s="33"/>
      <c r="F16" s="37">
        <f>F14/F15</f>
        <v>0.92222222222222228</v>
      </c>
      <c r="G16" s="38"/>
      <c r="H16" s="38"/>
      <c r="I16" s="38"/>
      <c r="J16" s="39"/>
    </row>
    <row r="17" spans="1:12" ht="32.25" customHeight="1" x14ac:dyDescent="0.25">
      <c r="A17" s="30" t="s">
        <v>18</v>
      </c>
      <c r="B17" s="28"/>
      <c r="C17" s="28"/>
      <c r="D17" s="28"/>
      <c r="E17" s="28"/>
      <c r="F17" s="31" t="s">
        <v>15</v>
      </c>
      <c r="G17" s="31"/>
      <c r="H17" s="28" t="s">
        <v>16</v>
      </c>
      <c r="I17" s="28"/>
      <c r="J17" s="29"/>
    </row>
    <row r="18" spans="1:12" ht="35.25" customHeight="1" x14ac:dyDescent="0.25">
      <c r="A18" s="19" t="s">
        <v>20</v>
      </c>
      <c r="B18" s="20"/>
      <c r="C18" s="20"/>
      <c r="D18" s="20"/>
      <c r="E18" s="20"/>
      <c r="F18" s="21">
        <v>0.97777777777777775</v>
      </c>
      <c r="G18" s="22"/>
      <c r="H18" s="25" t="s">
        <v>25</v>
      </c>
      <c r="I18" s="26"/>
      <c r="J18" s="27"/>
      <c r="L18" s="2"/>
    </row>
    <row r="19" spans="1:12" ht="35.25" customHeight="1" x14ac:dyDescent="0.25">
      <c r="A19" s="19" t="s">
        <v>1</v>
      </c>
      <c r="B19" s="20"/>
      <c r="C19" s="20"/>
      <c r="D19" s="20"/>
      <c r="E19" s="20"/>
      <c r="F19" s="21">
        <v>0.9555555555555556</v>
      </c>
      <c r="G19" s="22"/>
      <c r="H19" s="25" t="s">
        <v>25</v>
      </c>
      <c r="I19" s="26"/>
      <c r="J19" s="27"/>
      <c r="L19" s="2"/>
    </row>
    <row r="20" spans="1:12" ht="35.25" customHeight="1" x14ac:dyDescent="0.25">
      <c r="A20" s="19" t="s">
        <v>2</v>
      </c>
      <c r="B20" s="20"/>
      <c r="C20" s="20"/>
      <c r="D20" s="20"/>
      <c r="E20" s="20"/>
      <c r="F20" s="21">
        <v>0.8666666666666667</v>
      </c>
      <c r="G20" s="22"/>
      <c r="H20" s="25" t="s">
        <v>25</v>
      </c>
      <c r="I20" s="26"/>
      <c r="J20" s="27"/>
      <c r="L20" s="2"/>
    </row>
    <row r="21" spans="1:12" ht="35.25" customHeight="1" x14ac:dyDescent="0.25">
      <c r="A21" s="19" t="s">
        <v>3</v>
      </c>
      <c r="B21" s="20"/>
      <c r="C21" s="20"/>
      <c r="D21" s="20"/>
      <c r="E21" s="20"/>
      <c r="F21" s="21">
        <v>0.93333333333333335</v>
      </c>
      <c r="G21" s="22"/>
      <c r="H21" s="25" t="s">
        <v>25</v>
      </c>
      <c r="I21" s="26"/>
      <c r="J21" s="27"/>
      <c r="L21" s="2"/>
    </row>
    <row r="22" spans="1:12" ht="35.25" customHeight="1" x14ac:dyDescent="0.25">
      <c r="A22" s="19" t="s">
        <v>5</v>
      </c>
      <c r="B22" s="20"/>
      <c r="C22" s="20"/>
      <c r="D22" s="20"/>
      <c r="E22" s="20"/>
      <c r="F22" s="21">
        <v>0.88888888888888884</v>
      </c>
      <c r="G22" s="22"/>
      <c r="H22" s="25" t="s">
        <v>25</v>
      </c>
      <c r="I22" s="26"/>
      <c r="J22" s="27"/>
      <c r="L22" s="2"/>
    </row>
    <row r="23" spans="1:12" ht="35.25" customHeight="1" x14ac:dyDescent="0.25">
      <c r="A23" s="19" t="s">
        <v>4</v>
      </c>
      <c r="B23" s="20"/>
      <c r="C23" s="20"/>
      <c r="D23" s="20"/>
      <c r="E23" s="20"/>
      <c r="F23" s="21">
        <v>0.91111111111111109</v>
      </c>
      <c r="G23" s="22"/>
      <c r="H23" s="25" t="s">
        <v>25</v>
      </c>
      <c r="I23" s="26"/>
      <c r="J23" s="27"/>
      <c r="L23" s="2"/>
    </row>
    <row r="24" spans="1:12" ht="20.25" customHeight="1" x14ac:dyDescent="0.25">
      <c r="A24" s="23" t="s">
        <v>17</v>
      </c>
      <c r="B24" s="15" t="s">
        <v>26</v>
      </c>
      <c r="C24" s="15"/>
      <c r="D24" s="15"/>
      <c r="E24" s="15"/>
      <c r="F24" s="15"/>
      <c r="G24" s="15"/>
      <c r="H24" s="15"/>
      <c r="I24" s="15"/>
      <c r="J24" s="16"/>
    </row>
    <row r="25" spans="1:12" ht="20.25" customHeight="1" thickBot="1" x14ac:dyDescent="0.3">
      <c r="A25" s="24"/>
      <c r="B25" s="17"/>
      <c r="C25" s="17"/>
      <c r="D25" s="17"/>
      <c r="E25" s="17"/>
      <c r="F25" s="17"/>
      <c r="G25" s="17"/>
      <c r="H25" s="17"/>
      <c r="I25" s="17"/>
      <c r="J25" s="18"/>
    </row>
  </sheetData>
  <mergeCells count="44">
    <mergeCell ref="A1:J1"/>
    <mergeCell ref="F4:J4"/>
    <mergeCell ref="A4:E5"/>
    <mergeCell ref="A6:E6"/>
    <mergeCell ref="A3:E3"/>
    <mergeCell ref="F3:J3"/>
    <mergeCell ref="A2:G2"/>
    <mergeCell ref="H2:J2"/>
    <mergeCell ref="A7:E7"/>
    <mergeCell ref="A14:E14"/>
    <mergeCell ref="A9:E9"/>
    <mergeCell ref="A10:E10"/>
    <mergeCell ref="A11:E11"/>
    <mergeCell ref="A8:E8"/>
    <mergeCell ref="A12:E12"/>
    <mergeCell ref="A13:E13"/>
    <mergeCell ref="A16:E16"/>
    <mergeCell ref="F14:J14"/>
    <mergeCell ref="F15:J15"/>
    <mergeCell ref="F16:J16"/>
    <mergeCell ref="A15:E15"/>
    <mergeCell ref="H17:J17"/>
    <mergeCell ref="A23:E23"/>
    <mergeCell ref="F23:G23"/>
    <mergeCell ref="A21:E21"/>
    <mergeCell ref="F21:G21"/>
    <mergeCell ref="F18:G18"/>
    <mergeCell ref="A17:E17"/>
    <mergeCell ref="F17:G17"/>
    <mergeCell ref="A18:E18"/>
    <mergeCell ref="A19:E19"/>
    <mergeCell ref="F19:G19"/>
    <mergeCell ref="H18:J18"/>
    <mergeCell ref="H19:J19"/>
    <mergeCell ref="H20:J20"/>
    <mergeCell ref="H21:J21"/>
    <mergeCell ref="H22:J22"/>
    <mergeCell ref="B24:J25"/>
    <mergeCell ref="A22:E22"/>
    <mergeCell ref="F22:G22"/>
    <mergeCell ref="A20:E20"/>
    <mergeCell ref="F20:G20"/>
    <mergeCell ref="A24:A25"/>
    <mergeCell ref="H23:J23"/>
  </mergeCells>
  <phoneticPr fontId="27" type="noConversion"/>
  <printOptions horizontalCentered="1"/>
  <pageMargins left="0.196850393700787" right="0.196850393700787" top="0.5" bottom="0.98425196850393704" header="0" footer="0.39370078740157499"/>
  <pageSetup paperSize="9" scale="72" firstPageNumber="429496319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157255200</TotalTime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Feedback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Parth Raval</dc:creator>
  <cp:keywords/>
  <dc:description/>
  <cp:lastModifiedBy>Parth Raval</cp:lastModifiedBy>
  <cp:revision/>
  <cp:lastPrinted>2026-09-26T05:03:57Z</cp:lastPrinted>
  <dcterms:created xsi:type="dcterms:W3CDTF">1996-10-14T23:33:28Z</dcterms:created>
  <dcterms:modified xsi:type="dcterms:W3CDTF">2026-10-20T11:32:02Z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1033-8.1.0.3036</vt:lpwstr>
  </property>
</Properties>
</file>